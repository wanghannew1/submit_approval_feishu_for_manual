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工资表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<sst xmlns="http://schemas.openxmlformats.org/spreadsheetml/2006/main" count="92" uniqueCount="82">
  <si>
    <r>
      <rPr>
        <b val="true"/>
        <sz val="18"/>
        <rFont val="楷体_GB2312"/>
        <family val="0"/>
        <charset val="134"/>
      </rPr>
      <t xml:space="preserve">XX</t>
    </r>
    <r>
      <rPr>
        <b val="true"/>
        <sz val="18"/>
        <rFont val="WenQuanYi Zen Hei"/>
        <family val="2"/>
      </rPr>
      <t xml:space="preserve">有限公司</t>
    </r>
    <r>
      <rPr>
        <b val="true"/>
        <sz val="18"/>
        <rFont val="楷体_GB2312"/>
        <family val="0"/>
        <charset val="134"/>
      </rPr>
      <t xml:space="preserve">-XX</t>
    </r>
    <r>
      <rPr>
        <b val="true"/>
        <sz val="18"/>
        <rFont val="WenQuanYi Zen Hei"/>
        <family val="2"/>
      </rPr>
      <t xml:space="preserve">部门</t>
    </r>
    <r>
      <rPr>
        <b val="true"/>
        <sz val="18"/>
        <rFont val="楷体_GB2312"/>
        <family val="0"/>
        <charset val="134"/>
      </rPr>
      <t xml:space="preserve">2026</t>
    </r>
    <r>
      <rPr>
        <b val="true"/>
        <sz val="18"/>
        <rFont val="WenQuanYi Zen Hei"/>
        <family val="2"/>
      </rPr>
      <t xml:space="preserve">年</t>
    </r>
    <r>
      <rPr>
        <b val="true"/>
        <sz val="18"/>
        <rFont val="楷体_GB2312"/>
        <family val="0"/>
        <charset val="134"/>
      </rPr>
      <t xml:space="preserve">9</t>
    </r>
    <r>
      <rPr>
        <b val="true"/>
        <sz val="18"/>
        <rFont val="WenQuanYi Zen Hei"/>
        <family val="2"/>
      </rPr>
      <t xml:space="preserve">月外包人员工资发放表</t>
    </r>
  </si>
  <si>
    <t xml:space="preserve">序号</t>
  </si>
  <si>
    <t xml:space="preserve">岗位</t>
  </si>
  <si>
    <t xml:space="preserve">姓名</t>
  </si>
  <si>
    <t xml:space="preserve">身份证号</t>
  </si>
  <si>
    <t xml:space="preserve">基本工资</t>
  </si>
  <si>
    <t xml:space="preserve">加班费</t>
  </si>
  <si>
    <t xml:space="preserve">补助</t>
  </si>
  <si>
    <t xml:space="preserve">差旅费（免税）</t>
  </si>
  <si>
    <t xml:space="preserve">应发合计</t>
  </si>
  <si>
    <t xml:space="preserve">单位缴纳五险一金</t>
  </si>
  <si>
    <t xml:space="preserve">成本合计</t>
  </si>
  <si>
    <t xml:space="preserve">社保基数</t>
  </si>
  <si>
    <t xml:space="preserve">医保基数</t>
  </si>
  <si>
    <t xml:space="preserve">工伤基数</t>
  </si>
  <si>
    <t xml:space="preserve">公积金基数</t>
  </si>
  <si>
    <t xml:space="preserve">本 月 扣 款</t>
  </si>
  <si>
    <t xml:space="preserve">专项扣除</t>
  </si>
  <si>
    <r>
      <rPr>
        <b val="true"/>
        <sz val="11"/>
        <rFont val="宋体"/>
        <family val="0"/>
        <charset val="134"/>
      </rPr>
      <t xml:space="preserve">01-03</t>
    </r>
    <r>
      <rPr>
        <b val="true"/>
        <sz val="11"/>
        <rFont val="WenQuanYi Zen Hei"/>
        <family val="2"/>
      </rPr>
      <t xml:space="preserve">月应纳税所得额</t>
    </r>
  </si>
  <si>
    <t xml:space="preserve">已扣个税</t>
  </si>
  <si>
    <r>
      <rPr>
        <b val="true"/>
        <sz val="11"/>
        <rFont val="宋体"/>
        <family val="0"/>
        <charset val="134"/>
      </rPr>
      <t xml:space="preserve">01-04</t>
    </r>
    <r>
      <rPr>
        <b val="true"/>
        <sz val="11"/>
        <rFont val="WenQuanYi Zen Hei"/>
        <family val="2"/>
      </rPr>
      <t xml:space="preserve">月应纳税所得额</t>
    </r>
  </si>
  <si>
    <t xml:space="preserve">本月应纳税所得额</t>
  </si>
  <si>
    <t xml:space="preserve">应纳个人所得税</t>
  </si>
  <si>
    <t xml:space="preserve">实发工资</t>
  </si>
  <si>
    <t xml:space="preserve">养老</t>
  </si>
  <si>
    <t xml:space="preserve">失业</t>
  </si>
  <si>
    <t xml:space="preserve">医疗</t>
  </si>
  <si>
    <t xml:space="preserve">工伤</t>
  </si>
  <si>
    <t xml:space="preserve">公积金</t>
  </si>
  <si>
    <t xml:space="preserve">大病险</t>
  </si>
  <si>
    <t xml:space="preserve">扣款合计</t>
  </si>
  <si>
    <r>
      <rPr>
        <b val="true"/>
        <sz val="11"/>
        <rFont val="WenQuanYi Zen Hei"/>
        <family val="2"/>
      </rPr>
      <t xml:space="preserve">单位</t>
    </r>
    <r>
      <rPr>
        <b val="true"/>
        <sz val="11"/>
        <rFont val="宋体"/>
        <family val="0"/>
        <charset val="134"/>
      </rPr>
      <t xml:space="preserve">16%</t>
    </r>
  </si>
  <si>
    <r>
      <rPr>
        <b val="true"/>
        <sz val="11"/>
        <rFont val="WenQuanYi Zen Hei"/>
        <family val="2"/>
      </rPr>
      <t xml:space="preserve">个人</t>
    </r>
    <r>
      <rPr>
        <b val="true"/>
        <sz val="11"/>
        <rFont val="宋体"/>
        <family val="0"/>
        <charset val="134"/>
      </rPr>
      <t xml:space="preserve">8%</t>
    </r>
  </si>
  <si>
    <r>
      <rPr>
        <b val="true"/>
        <sz val="11"/>
        <rFont val="WenQuanYi Zen Hei"/>
        <family val="2"/>
      </rPr>
      <t xml:space="preserve">单位</t>
    </r>
    <r>
      <rPr>
        <b val="true"/>
        <sz val="11"/>
        <rFont val="宋体"/>
        <family val="0"/>
        <charset val="134"/>
      </rPr>
      <t xml:space="preserve">0.7%</t>
    </r>
  </si>
  <si>
    <r>
      <rPr>
        <b val="true"/>
        <sz val="11"/>
        <rFont val="WenQuanYi Zen Hei"/>
        <family val="2"/>
      </rPr>
      <t xml:space="preserve">个人</t>
    </r>
    <r>
      <rPr>
        <b val="true"/>
        <sz val="11"/>
        <rFont val="宋体"/>
        <family val="0"/>
        <charset val="134"/>
      </rPr>
      <t xml:space="preserve">0.3%</t>
    </r>
  </si>
  <si>
    <r>
      <rPr>
        <b val="true"/>
        <sz val="11"/>
        <rFont val="WenQuanYi Zen Hei"/>
        <family val="2"/>
      </rPr>
      <t xml:space="preserve">单位</t>
    </r>
    <r>
      <rPr>
        <b val="true"/>
        <sz val="11"/>
        <rFont val="宋体"/>
        <family val="0"/>
        <charset val="134"/>
      </rPr>
      <t xml:space="preserve">7.7%</t>
    </r>
  </si>
  <si>
    <r>
      <rPr>
        <b val="true"/>
        <sz val="11"/>
        <rFont val="WenQuanYi Zen Hei"/>
        <family val="2"/>
      </rPr>
      <t xml:space="preserve">个人</t>
    </r>
    <r>
      <rPr>
        <b val="true"/>
        <sz val="11"/>
        <rFont val="宋体"/>
        <family val="0"/>
        <charset val="134"/>
      </rPr>
      <t xml:space="preserve">2%</t>
    </r>
  </si>
  <si>
    <r>
      <rPr>
        <b val="true"/>
        <sz val="11"/>
        <rFont val="WenQuanYi Zen Hei"/>
        <family val="2"/>
      </rPr>
      <t xml:space="preserve">单位</t>
    </r>
    <r>
      <rPr>
        <b val="true"/>
        <sz val="11"/>
        <rFont val="宋体"/>
        <family val="0"/>
        <charset val="134"/>
      </rPr>
      <t xml:space="preserve">0.256%</t>
    </r>
  </si>
  <si>
    <r>
      <rPr>
        <b val="true"/>
        <sz val="11"/>
        <color rgb="FF000000"/>
        <rFont val="WenQuanYi Zen Hei"/>
        <family val="2"/>
      </rPr>
      <t xml:space="preserve">单位</t>
    </r>
    <r>
      <rPr>
        <b val="true"/>
        <sz val="11"/>
        <color rgb="FF000000"/>
        <rFont val="宋体"/>
        <family val="0"/>
        <charset val="134"/>
      </rPr>
      <t xml:space="preserve">7%</t>
    </r>
  </si>
  <si>
    <r>
      <rPr>
        <b val="true"/>
        <sz val="11"/>
        <color rgb="FF000000"/>
        <rFont val="WenQuanYi Zen Hei"/>
        <family val="2"/>
      </rPr>
      <t xml:space="preserve">个人</t>
    </r>
    <r>
      <rPr>
        <b val="true"/>
        <sz val="11"/>
        <color rgb="FF000000"/>
        <rFont val="宋体"/>
        <family val="0"/>
        <charset val="134"/>
      </rPr>
      <t xml:space="preserve">7%</t>
    </r>
  </si>
  <si>
    <t xml:space="preserve">累计子女教育</t>
  </si>
  <si>
    <t xml:space="preserve">累计继续教育</t>
  </si>
  <si>
    <t xml:space="preserve">累计住房贷款利息</t>
  </si>
  <si>
    <t xml:space="preserve">累计住房租金</t>
  </si>
  <si>
    <t xml:space="preserve">累计赡养老人</t>
  </si>
  <si>
    <r>
      <rPr>
        <b val="true"/>
        <sz val="11"/>
        <rFont val="WenQuanYi Zen Hei"/>
        <family val="2"/>
      </rPr>
      <t xml:space="preserve">累计</t>
    </r>
    <r>
      <rPr>
        <b val="true"/>
        <sz val="11"/>
        <rFont val="宋体"/>
        <family val="0"/>
        <charset val="134"/>
      </rPr>
      <t xml:space="preserve">3</t>
    </r>
    <r>
      <rPr>
        <b val="true"/>
        <sz val="11"/>
        <rFont val="WenQuanYi Zen Hei"/>
        <family val="2"/>
      </rPr>
      <t xml:space="preserve">岁以下婴幼儿照护</t>
    </r>
  </si>
  <si>
    <t xml:space="preserve">合计</t>
  </si>
  <si>
    <t xml:space="preserve">专职驾驶员</t>
  </si>
  <si>
    <t xml:space="preserve">张三</t>
  </si>
  <si>
    <t xml:space="preserve">220101199001011001</t>
  </si>
  <si>
    <t xml:space="preserve">驾驶员</t>
  </si>
  <si>
    <t xml:space="preserve">李四</t>
  </si>
  <si>
    <t xml:space="preserve">220101199001011002</t>
  </si>
  <si>
    <t xml:space="preserve">王五</t>
  </si>
  <si>
    <t xml:space="preserve">220101199001011003</t>
  </si>
  <si>
    <t xml:space="preserve">赵六</t>
  </si>
  <si>
    <t xml:space="preserve">220101199001011004</t>
  </si>
  <si>
    <t xml:space="preserve">孙七</t>
  </si>
  <si>
    <t xml:space="preserve">220101199001011005</t>
  </si>
  <si>
    <t xml:space="preserve">会议服务人员</t>
  </si>
  <si>
    <t xml:space="preserve">周八</t>
  </si>
  <si>
    <t xml:space="preserve">220101199001011006</t>
  </si>
  <si>
    <t xml:space="preserve">吴九</t>
  </si>
  <si>
    <t xml:space="preserve">220101199001011007</t>
  </si>
  <si>
    <t xml:space="preserve">郑十</t>
  </si>
  <si>
    <t xml:space="preserve">220101199001011008</t>
  </si>
  <si>
    <t xml:space="preserve">冯十一</t>
  </si>
  <si>
    <t xml:space="preserve">220101199001011009</t>
  </si>
  <si>
    <t xml:space="preserve">陈十二</t>
  </si>
  <si>
    <t xml:space="preserve">220101199001011010</t>
  </si>
  <si>
    <t xml:space="preserve">褚十三</t>
  </si>
  <si>
    <t xml:space="preserve">220101199001011011</t>
  </si>
  <si>
    <t xml:space="preserve">卫十四</t>
  </si>
  <si>
    <t xml:space="preserve">220101199001011012</t>
  </si>
  <si>
    <r>
      <rPr>
        <sz val="11"/>
        <rFont val="WenQuanYi Zen Hei"/>
        <family val="2"/>
      </rPr>
      <t xml:space="preserve">管理费（</t>
    </r>
    <r>
      <rPr>
        <sz val="11"/>
        <rFont val="宋体"/>
        <family val="0"/>
        <charset val="134"/>
      </rPr>
      <t xml:space="preserve">3.5%</t>
    </r>
    <r>
      <rPr>
        <sz val="11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</si>
  <si>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税费（</t>
    </r>
    <r>
      <rPr>
        <sz val="11"/>
        <rFont val="宋体"/>
        <family val="0"/>
        <charset val="134"/>
      </rPr>
      <t xml:space="preserve">6%</t>
    </r>
    <r>
      <rPr>
        <sz val="11"/>
        <rFont val="WenQuanYi Zen Hei"/>
        <family val="2"/>
      </rPr>
      <t xml:space="preserve">）</t>
    </r>
  </si>
  <si>
    <t xml:space="preserve">外包费用转款合计</t>
  </si>
  <si>
    <t xml:space="preserve">总经理签字：</t>
  </si>
  <si>
    <t xml:space="preserve">部长、分管副总签字：</t>
  </si>
  <si>
    <t xml:space="preserve">财务审核：</t>
  </si>
  <si>
    <t xml:space="preserve">业务审核：</t>
  </si>
  <si>
    <t xml:space="preserve">制表人：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</si>
</sst>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_);[RED]\(0.00\)"/>
    <numFmt numFmtId="166" formatCode="0%"/>
    <numFmt numFmtId="167" formatCode="0.0%"/>
    <numFmt numFmtId="168" formatCode="0.00%"/>
    <numFmt numFmtId="169" formatCode="0.00_ "/>
    <numFmt numFmtId="170" formatCode="General"/>
  </numFmts>
  <fonts count="18">
    <font>
      <sz val="11"/>
      <color theme="1"/>
      <name val="WenQuanYi Zen He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宋体"/>
      <family val="0"/>
      <charset val="134"/>
    </font>
    <font>
      <sz val="12"/>
      <name val="WenQuanYi Zen Hei"/>
      <family val="2"/>
    </font>
    <font>
      <sz val="9"/>
      <name val="WenQuanYi Zen Hei"/>
      <family val="2"/>
    </font>
    <font>
      <b val="true"/>
      <sz val="18"/>
      <name val="楷体_GB2312"/>
      <family val="0"/>
      <charset val="134"/>
    </font>
    <font>
      <b val="true"/>
      <sz val="18"/>
      <name val="WenQuanYi Zen Hei"/>
      <family val="2"/>
    </font>
    <font>
      <sz val="18"/>
      <name val="WenQuanYi Zen Hei"/>
      <family val="2"/>
    </font>
    <font>
      <b val="true"/>
      <sz val="11"/>
      <name val="WenQuanYi Zen Hei"/>
      <family val="2"/>
    </font>
    <font>
      <b val="true"/>
      <sz val="11"/>
      <name val="宋体"/>
      <family val="0"/>
      <charset val="134"/>
    </font>
    <font>
      <sz val="11"/>
      <name val="WenQuanYi Zen Hei"/>
      <family val="2"/>
    </font>
    <font>
      <b val="true"/>
      <sz val="11"/>
      <color rgb="FF000000"/>
      <name val="WenQuanYi Zen Hei"/>
      <family val="2"/>
    </font>
    <font>
      <b val="true"/>
      <sz val="11"/>
      <color rgb="FF000000"/>
      <name val="宋体"/>
      <family val="0"/>
      <charset val="134"/>
    </font>
    <font>
      <sz val="11"/>
      <name val="宋体"/>
      <family val="0"/>
      <charset val="134"/>
    </font>
    <font>
      <sz val="11"/>
      <color rgb="FF000000"/>
      <name val="宋体"/>
      <family val="0"/>
      <charset val="134"/>
    </font>
    <font>
      <b val="true"/>
      <sz val="10"/>
      <name val="WenQuanYi Zen He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3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24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0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  <cellStyle name="常规_Sheet1" xfId="21"/>
    <cellStyle name="常规_Sheet1_5" xfId="22"/>
    <cellStyle name="常规_Sheet1_6" xfId="23"/>
    <cellStyle name="常规_Sheet1_7" xfId="24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 l="0" t="0" r="0" b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X28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5" ySplit="5" topLeftCell="F10" activePane="bottomRight" state="frozen"/>
      <selection pane="topLeft" activeCell="A1" activeCellId="0" sqref="A1"/>
      <selection pane="topRight" activeCell="F1" activeCellId="0" sqref="F1"/>
      <selection pane="bottomLeft" activeCell="A10" activeCellId="0" sqref="A10"/>
      <selection pane="bottomRight" activeCell="E26" activeCellId="0" sqref="E26"/>
    </sheetView>
  </sheetViews>
  <sheetFormatPr defaultColWidth="9.546875" defaultRowHeight="14.25" zeroHeight="false" outlineLevelRow="0" outlineLevelCol="0"/>
  <cols>
    <col collapsed="false" customWidth="true" hidden="false" outlineLevel="0" max="1" min="1" style="1" width="10.08"/>
    <col collapsed="false" customWidth="true" hidden="false" outlineLevel="0" max="2" min="2" style="1" width="13.11"/>
    <col collapsed="false" customWidth="true" hidden="false" outlineLevel="0" max="3" min="3" style="1" width="10.87"/>
    <col collapsed="false" customWidth="true" hidden="false" outlineLevel="0" max="4" min="4" style="1" width="20.55"/>
    <col collapsed="false" customWidth="true" hidden="false" outlineLevel="0" max="9" min="5" style="1" width="10.87"/>
    <col collapsed="false" customWidth="true" hidden="false" outlineLevel="0" max="10" min="10" style="1" width="9.95"/>
    <col collapsed="false" customWidth="true" hidden="false" outlineLevel="0" max="11" min="11" style="1" width="11.54"/>
    <col collapsed="false" customWidth="true" hidden="false" outlineLevel="0" max="12" min="12" style="2" width="9.81"/>
    <col collapsed="false" customWidth="true" hidden="false" outlineLevel="0" max="14" min="13" style="2" width="9.15"/>
    <col collapsed="false" customWidth="true" hidden="false" outlineLevel="0" max="15" min="15" style="2" width="11.4"/>
    <col collapsed="false" customWidth="true" hidden="false" outlineLevel="0" max="16" min="16" style="2" width="10.21"/>
    <col collapsed="false" customWidth="true" hidden="false" outlineLevel="0" max="17" min="17" style="1" width="12.46"/>
    <col collapsed="false" customWidth="true" hidden="false" outlineLevel="0" max="18" min="18" style="1" width="10.34"/>
    <col collapsed="false" customWidth="true" hidden="false" outlineLevel="0" max="19" min="19" style="1" width="9.95"/>
    <col collapsed="false" customWidth="true" hidden="false" outlineLevel="0" max="20" min="20" style="1" width="9.42"/>
    <col collapsed="false" customWidth="false" hidden="false" outlineLevel="0" max="21" min="21" style="1" width="9.55"/>
    <col collapsed="false" customWidth="true" hidden="false" outlineLevel="0" max="22" min="22" style="1" width="9.95"/>
    <col collapsed="false" customWidth="true" hidden="false" outlineLevel="0" max="24" min="23" style="1" width="8.36"/>
    <col collapsed="false" customWidth="true" hidden="true" outlineLevel="0" max="25" min="25" style="1" width="8.89"/>
    <col collapsed="false" customWidth="true" hidden="false" outlineLevel="0" max="26" min="26" style="1" width="12.73"/>
    <col collapsed="false" customWidth="true" hidden="true" outlineLevel="0" max="36" min="27" style="1" width="12.73"/>
    <col collapsed="false" customWidth="true" hidden="true" outlineLevel="0" max="37" min="37" style="1" width="12.86"/>
    <col collapsed="false" customWidth="true" hidden="false" outlineLevel="0" max="38" min="38" style="3" width="9.81"/>
    <col collapsed="false" customWidth="true" hidden="false" outlineLevel="0" max="39" min="39" style="1" width="12.07"/>
    <col collapsed="false" customWidth="false" hidden="false" outlineLevel="0" max="127" min="40" style="1" width="9.55"/>
    <col collapsed="false" customWidth="false" hidden="false" outlineLevel="0" max="16371" min="128" style="4" width="9.55"/>
  </cols>
  <sheetData>
    <row r="1" s="6" customFormat="true" ht="46.5" hidden="false" customHeight="true" outlineLevel="0" collapsed="false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="11" customFormat="true" ht="15.75" hidden="false" customHeight="true" outlineLevel="0" collapsed="false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/>
      <c r="R2" s="7"/>
      <c r="S2" s="7"/>
      <c r="T2" s="7"/>
      <c r="U2" s="7"/>
      <c r="V2" s="7"/>
      <c r="W2" s="7"/>
      <c r="X2" s="7"/>
      <c r="Y2" s="7"/>
      <c r="Z2" s="7"/>
      <c r="AA2" s="7" t="s">
        <v>17</v>
      </c>
      <c r="AB2" s="7"/>
      <c r="AC2" s="7"/>
      <c r="AD2" s="7"/>
      <c r="AE2" s="7"/>
      <c r="AF2" s="7"/>
      <c r="AG2" s="7"/>
      <c r="AH2" s="8" t="s">
        <v>18</v>
      </c>
      <c r="AI2" s="7" t="s">
        <v>19</v>
      </c>
      <c r="AJ2" s="8" t="s">
        <v>20</v>
      </c>
      <c r="AK2" s="7" t="s">
        <v>21</v>
      </c>
      <c r="AL2" s="9" t="s">
        <v>22</v>
      </c>
      <c r="AM2" s="9" t="s">
        <v>23</v>
      </c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</row>
    <row r="3" s="11" customFormat="true" ht="15.75" hidden="false" customHeight="tru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9" t="s">
        <v>24</v>
      </c>
      <c r="Q3" s="9"/>
      <c r="R3" s="9" t="s">
        <v>25</v>
      </c>
      <c r="S3" s="9"/>
      <c r="T3" s="9" t="s">
        <v>26</v>
      </c>
      <c r="U3" s="9"/>
      <c r="V3" s="9" t="s">
        <v>27</v>
      </c>
      <c r="W3" s="12" t="s">
        <v>28</v>
      </c>
      <c r="X3" s="12"/>
      <c r="Y3" s="12" t="s">
        <v>29</v>
      </c>
      <c r="Z3" s="9" t="s">
        <v>30</v>
      </c>
      <c r="AA3" s="7"/>
      <c r="AB3" s="7"/>
      <c r="AC3" s="7"/>
      <c r="AD3" s="7"/>
      <c r="AE3" s="7"/>
      <c r="AF3" s="7"/>
      <c r="AG3" s="7"/>
      <c r="AH3" s="8"/>
      <c r="AI3" s="8"/>
      <c r="AJ3" s="8"/>
      <c r="AK3" s="8"/>
      <c r="AL3" s="8"/>
      <c r="AM3" s="8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</row>
    <row r="4" s="11" customFormat="true" ht="33.75" hidden="false" customHeight="tru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13" t="s">
        <v>31</v>
      </c>
      <c r="Q4" s="13" t="s">
        <v>32</v>
      </c>
      <c r="R4" s="14" t="s">
        <v>33</v>
      </c>
      <c r="S4" s="14" t="s">
        <v>34</v>
      </c>
      <c r="T4" s="13" t="s">
        <v>35</v>
      </c>
      <c r="U4" s="13" t="s">
        <v>36</v>
      </c>
      <c r="V4" s="15" t="s">
        <v>37</v>
      </c>
      <c r="W4" s="16" t="s">
        <v>38</v>
      </c>
      <c r="X4" s="16" t="s">
        <v>39</v>
      </c>
      <c r="Y4" s="12"/>
      <c r="Z4" s="12"/>
      <c r="AA4" s="9" t="s">
        <v>40</v>
      </c>
      <c r="AB4" s="9" t="s">
        <v>41</v>
      </c>
      <c r="AC4" s="9" t="s">
        <v>42</v>
      </c>
      <c r="AD4" s="9" t="s">
        <v>43</v>
      </c>
      <c r="AE4" s="9" t="s">
        <v>44</v>
      </c>
      <c r="AF4" s="9" t="s">
        <v>45</v>
      </c>
      <c r="AG4" s="9" t="s">
        <v>46</v>
      </c>
      <c r="AH4" s="8"/>
      <c r="AI4" s="8"/>
      <c r="AJ4" s="8"/>
      <c r="AK4" s="8"/>
      <c r="AL4" s="8"/>
      <c r="AM4" s="8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</row>
    <row r="5" s="10" customFormat="true" ht="30.75" hidden="false" customHeight="true" outlineLevel="0" collapsed="false">
      <c r="A5" s="17" t="n">
        <v>1</v>
      </c>
      <c r="B5" s="18" t="s">
        <v>47</v>
      </c>
      <c r="C5" s="19" t="s">
        <v>48</v>
      </c>
      <c r="D5" s="20" t="s">
        <v>49</v>
      </c>
      <c r="E5" s="19" t="n">
        <v>5800</v>
      </c>
      <c r="F5" s="19" t="n">
        <v>1000</v>
      </c>
      <c r="G5" s="19"/>
      <c r="H5" s="19"/>
      <c r="I5" s="19" t="n">
        <f aca="false">SUM(E5:H5)</f>
        <v>6800</v>
      </c>
      <c r="J5" s="21" t="n">
        <f aca="false">P5+R5+T5+V5+W5</f>
        <v>1836.05</v>
      </c>
      <c r="K5" s="21" t="n">
        <f aca="false">SUM(I5:J5)</f>
        <v>8636.05</v>
      </c>
      <c r="L5" s="22" t="n">
        <v>5800</v>
      </c>
      <c r="M5" s="22" t="n">
        <v>5800</v>
      </c>
      <c r="N5" s="22" t="n">
        <v>5800</v>
      </c>
      <c r="O5" s="19" t="n">
        <v>5800</v>
      </c>
      <c r="P5" s="23" t="n">
        <f aca="false">ROUND(L5*0.16,2)</f>
        <v>928</v>
      </c>
      <c r="Q5" s="23" t="n">
        <f aca="false">ROUND(L5*0.08,2)</f>
        <v>464</v>
      </c>
      <c r="R5" s="23" t="n">
        <f aca="false">ROUND(L5*0.007,2)</f>
        <v>40.6</v>
      </c>
      <c r="S5" s="23" t="n">
        <f aca="false">ROUND(L5*0.003,2)</f>
        <v>17.4</v>
      </c>
      <c r="T5" s="23" t="n">
        <f aca="false">ROUND(M5*0.077,2)</f>
        <v>446.6</v>
      </c>
      <c r="U5" s="23" t="n">
        <f aca="false">ROUND(M5*0.02,2)</f>
        <v>116</v>
      </c>
      <c r="V5" s="23" t="n">
        <f aca="false">ROUND(N5*0.00256,2)</f>
        <v>14.85</v>
      </c>
      <c r="W5" s="24" t="n">
        <f aca="false">ROUND(O5*0.07,0)</f>
        <v>406</v>
      </c>
      <c r="X5" s="24" t="n">
        <f aca="false">ROUND(O5*0.07,0)</f>
        <v>406</v>
      </c>
      <c r="Y5" s="24"/>
      <c r="Z5" s="18" t="n">
        <f aca="false">SUM(P5:Y5)</f>
        <v>2839.45</v>
      </c>
      <c r="AA5" s="18"/>
      <c r="AB5" s="18"/>
      <c r="AC5" s="18"/>
      <c r="AD5" s="18"/>
      <c r="AE5" s="18"/>
      <c r="AF5" s="18"/>
      <c r="AG5" s="18" t="n">
        <f aca="false">SUM(AA5:AF5)</f>
        <v>0</v>
      </c>
      <c r="AH5" s="18"/>
      <c r="AI5" s="18"/>
      <c r="AJ5" s="18" t="n">
        <f aca="false">AK5+AH5</f>
        <v>796.6</v>
      </c>
      <c r="AK5" s="21" t="n">
        <f aca="false">K5-Z5-AG5-5000-H5</f>
        <v>796.6</v>
      </c>
      <c r="AL5" s="25" t="n">
        <f aca="false">ROUND(AJ5*0.03,2)-AI5</f>
        <v>23.9</v>
      </c>
      <c r="AM5" s="26" t="n">
        <f aca="false">K5-Z5-AL5</f>
        <v>5772.7</v>
      </c>
    </row>
    <row r="6" s="10" customFormat="true" ht="30.75" hidden="false" customHeight="true" outlineLevel="0" collapsed="false">
      <c r="A6" s="18" t="n">
        <v>2</v>
      </c>
      <c r="B6" s="18" t="s">
        <v>50</v>
      </c>
      <c r="C6" s="19" t="s">
        <v>51</v>
      </c>
      <c r="D6" s="20" t="s">
        <v>52</v>
      </c>
      <c r="E6" s="19" t="n">
        <v>5800</v>
      </c>
      <c r="F6" s="19" t="n">
        <v>400</v>
      </c>
      <c r="G6" s="19" t="n">
        <v>400</v>
      </c>
      <c r="H6" s="19" t="n">
        <v>199</v>
      </c>
      <c r="I6" s="19" t="n">
        <f aca="false">SUM(E6:H6)</f>
        <v>6799</v>
      </c>
      <c r="J6" s="21" t="n">
        <f aca="false">P6+R6+T6+V6+W6</f>
        <v>1836.05</v>
      </c>
      <c r="K6" s="21" t="n">
        <f aca="false">SUM(I6:J6)</f>
        <v>8635.05</v>
      </c>
      <c r="L6" s="22" t="n">
        <v>5800</v>
      </c>
      <c r="M6" s="22" t="n">
        <v>5800</v>
      </c>
      <c r="N6" s="22" t="n">
        <v>5800</v>
      </c>
      <c r="O6" s="19" t="n">
        <v>5800</v>
      </c>
      <c r="P6" s="23" t="n">
        <f aca="false">ROUND(L6*0.16,2)</f>
        <v>928</v>
      </c>
      <c r="Q6" s="23" t="n">
        <f aca="false">ROUND(L6*0.08,2)</f>
        <v>464</v>
      </c>
      <c r="R6" s="23" t="n">
        <f aca="false">ROUND(L6*0.007,2)</f>
        <v>40.6</v>
      </c>
      <c r="S6" s="23" t="n">
        <f aca="false">ROUND(L6*0.003,2)</f>
        <v>17.4</v>
      </c>
      <c r="T6" s="23" t="n">
        <f aca="false">ROUND(M6*0.077,2)</f>
        <v>446.6</v>
      </c>
      <c r="U6" s="23" t="n">
        <f aca="false">ROUND(M6*0.02,2)</f>
        <v>116</v>
      </c>
      <c r="V6" s="23" t="n">
        <f aca="false">ROUND(N6*0.00256,2)</f>
        <v>14.85</v>
      </c>
      <c r="W6" s="24" t="n">
        <f aca="false">ROUND(O6*0.07,0)</f>
        <v>406</v>
      </c>
      <c r="X6" s="24" t="n">
        <f aca="false">ROUND(O6*0.07,0)</f>
        <v>406</v>
      </c>
      <c r="Y6" s="24"/>
      <c r="Z6" s="18" t="n">
        <f aca="false">SUM(P6:Y6)</f>
        <v>2839.45</v>
      </c>
      <c r="AA6" s="18"/>
      <c r="AB6" s="18"/>
      <c r="AC6" s="18"/>
      <c r="AD6" s="18"/>
      <c r="AE6" s="18"/>
      <c r="AF6" s="18"/>
      <c r="AG6" s="18" t="n">
        <f aca="false">SUM(AA6:AF6)</f>
        <v>0</v>
      </c>
      <c r="AH6" s="18"/>
      <c r="AI6" s="18"/>
      <c r="AJ6" s="18" t="n">
        <f aca="false">AK6+AH6</f>
        <v>596.6</v>
      </c>
      <c r="AK6" s="21" t="n">
        <f aca="false">K6-Z6-AG6-5000-H6</f>
        <v>596.6</v>
      </c>
      <c r="AL6" s="25" t="n">
        <f aca="false">ROUND(AJ6*0.03,2)-AI6</f>
        <v>17.9</v>
      </c>
      <c r="AM6" s="26" t="n">
        <f aca="false">K6-Z6-AL6</f>
        <v>5777.7</v>
      </c>
    </row>
    <row r="7" s="10" customFormat="true" ht="30.75" hidden="false" customHeight="true" outlineLevel="0" collapsed="false">
      <c r="A7" s="18" t="n">
        <v>3</v>
      </c>
      <c r="B7" s="18" t="s">
        <v>47</v>
      </c>
      <c r="C7" s="19" t="s">
        <v>53</v>
      </c>
      <c r="D7" s="20" t="s">
        <v>54</v>
      </c>
      <c r="E7" s="19" t="n">
        <v>5800</v>
      </c>
      <c r="F7" s="19" t="n">
        <v>1000</v>
      </c>
      <c r="G7" s="19"/>
      <c r="H7" s="19"/>
      <c r="I7" s="19" t="n">
        <f aca="false">SUM(E7:H7)</f>
        <v>6800</v>
      </c>
      <c r="J7" s="21" t="n">
        <f aca="false">P7+R7+T7+V7+W7</f>
        <v>1836.05</v>
      </c>
      <c r="K7" s="21" t="n">
        <f aca="false">SUM(I7:J7)</f>
        <v>8636.05</v>
      </c>
      <c r="L7" s="22" t="n">
        <v>5800</v>
      </c>
      <c r="M7" s="22" t="n">
        <v>5800</v>
      </c>
      <c r="N7" s="22" t="n">
        <v>5800</v>
      </c>
      <c r="O7" s="19" t="n">
        <v>5800</v>
      </c>
      <c r="P7" s="23" t="n">
        <f aca="false">ROUND(L7*0.16,2)</f>
        <v>928</v>
      </c>
      <c r="Q7" s="23" t="n">
        <f aca="false">ROUND(L7*0.08,2)</f>
        <v>464</v>
      </c>
      <c r="R7" s="23" t="n">
        <f aca="false">ROUND(L7*0.007,2)</f>
        <v>40.6</v>
      </c>
      <c r="S7" s="23" t="n">
        <f aca="false">ROUND(L7*0.003,2)</f>
        <v>17.4</v>
      </c>
      <c r="T7" s="23" t="n">
        <f aca="false">ROUND(M7*0.077,2)</f>
        <v>446.6</v>
      </c>
      <c r="U7" s="23" t="n">
        <f aca="false">ROUND(M7*0.02,2)</f>
        <v>116</v>
      </c>
      <c r="V7" s="23" t="n">
        <f aca="false">ROUND(N7*0.00256,2)</f>
        <v>14.85</v>
      </c>
      <c r="W7" s="24" t="n">
        <f aca="false">ROUND(O7*0.07,0)</f>
        <v>406</v>
      </c>
      <c r="X7" s="24" t="n">
        <f aca="false">ROUND(O7*0.07,0)</f>
        <v>406</v>
      </c>
      <c r="Y7" s="24"/>
      <c r="Z7" s="18" t="n">
        <f aca="false">SUM(P7:Y7)</f>
        <v>2839.45</v>
      </c>
      <c r="AA7" s="18"/>
      <c r="AB7" s="18"/>
      <c r="AC7" s="18"/>
      <c r="AD7" s="18"/>
      <c r="AE7" s="18"/>
      <c r="AF7" s="18"/>
      <c r="AG7" s="18" t="n">
        <f aca="false">SUM(AA7:AF7)</f>
        <v>0</v>
      </c>
      <c r="AH7" s="18"/>
      <c r="AI7" s="18"/>
      <c r="AJ7" s="18" t="n">
        <f aca="false">AK7+AH7</f>
        <v>796.6</v>
      </c>
      <c r="AK7" s="21" t="n">
        <f aca="false">K7-Z7-AG7-5000-H7</f>
        <v>796.6</v>
      </c>
      <c r="AL7" s="25" t="n">
        <f aca="false">ROUND(AJ7*0.03,2)-AI7</f>
        <v>23.9</v>
      </c>
      <c r="AM7" s="26" t="n">
        <f aca="false">K7-Z7-AL7</f>
        <v>5772.7</v>
      </c>
    </row>
    <row r="8" s="10" customFormat="true" ht="30.75" hidden="false" customHeight="true" outlineLevel="0" collapsed="false">
      <c r="A8" s="18" t="n">
        <v>4</v>
      </c>
      <c r="B8" s="18" t="s">
        <v>50</v>
      </c>
      <c r="C8" s="19" t="s">
        <v>55</v>
      </c>
      <c r="D8" s="20" t="s">
        <v>56</v>
      </c>
      <c r="E8" s="19" t="n">
        <v>5800</v>
      </c>
      <c r="F8" s="19" t="n">
        <v>400</v>
      </c>
      <c r="G8" s="19" t="n">
        <v>600</v>
      </c>
      <c r="H8" s="19" t="n">
        <v>872</v>
      </c>
      <c r="I8" s="19" t="n">
        <f aca="false">SUM(E8:H8)</f>
        <v>7672</v>
      </c>
      <c r="J8" s="21" t="n">
        <f aca="false">P8+R8+T8+V8+W8</f>
        <v>1836.05</v>
      </c>
      <c r="K8" s="21" t="n">
        <f aca="false">SUM(I8:J8)</f>
        <v>9508.05</v>
      </c>
      <c r="L8" s="22" t="n">
        <v>5800</v>
      </c>
      <c r="M8" s="22" t="n">
        <v>5800</v>
      </c>
      <c r="N8" s="22" t="n">
        <v>5800</v>
      </c>
      <c r="O8" s="19" t="n">
        <v>5800</v>
      </c>
      <c r="P8" s="23" t="n">
        <f aca="false">ROUND(L8*0.16,2)</f>
        <v>928</v>
      </c>
      <c r="Q8" s="23" t="n">
        <f aca="false">ROUND(L8*0.08,2)</f>
        <v>464</v>
      </c>
      <c r="R8" s="23" t="n">
        <f aca="false">ROUND(L8*0.007,2)</f>
        <v>40.6</v>
      </c>
      <c r="S8" s="23" t="n">
        <f aca="false">ROUND(L8*0.003,2)</f>
        <v>17.4</v>
      </c>
      <c r="T8" s="23" t="n">
        <f aca="false">ROUND(M8*0.077,2)</f>
        <v>446.6</v>
      </c>
      <c r="U8" s="23" t="n">
        <f aca="false">ROUND(M8*0.02,2)</f>
        <v>116</v>
      </c>
      <c r="V8" s="23" t="n">
        <f aca="false">ROUND(N8*0.00256,2)</f>
        <v>14.85</v>
      </c>
      <c r="W8" s="24" t="n">
        <f aca="false">ROUND(O8*0.07,0)</f>
        <v>406</v>
      </c>
      <c r="X8" s="24" t="n">
        <f aca="false">ROUND(O8*0.07,0)</f>
        <v>406</v>
      </c>
      <c r="Y8" s="24"/>
      <c r="Z8" s="18" t="n">
        <f aca="false">SUM(P8:Y8)</f>
        <v>2839.45</v>
      </c>
      <c r="AA8" s="18"/>
      <c r="AB8" s="18"/>
      <c r="AC8" s="18"/>
      <c r="AD8" s="18"/>
      <c r="AE8" s="18"/>
      <c r="AF8" s="18"/>
      <c r="AG8" s="18" t="n">
        <f aca="false">SUM(AA8:AF8)</f>
        <v>0</v>
      </c>
      <c r="AH8" s="18"/>
      <c r="AI8" s="18"/>
      <c r="AJ8" s="18" t="n">
        <f aca="false">AK8+AH8</f>
        <v>796.6</v>
      </c>
      <c r="AK8" s="21" t="n">
        <f aca="false">K8-Z8-AG8-5000-H8</f>
        <v>796.6</v>
      </c>
      <c r="AL8" s="25" t="n">
        <f aca="false">ROUND(AJ8*0.03,2)-AI8</f>
        <v>23.9</v>
      </c>
      <c r="AM8" s="26" t="n">
        <f aca="false">K8-Z8-AL8</f>
        <v>6644.7</v>
      </c>
    </row>
    <row r="9" s="10" customFormat="true" ht="30.75" hidden="false" customHeight="true" outlineLevel="0" collapsed="false">
      <c r="A9" s="18" t="n">
        <v>5</v>
      </c>
      <c r="B9" s="18" t="s">
        <v>50</v>
      </c>
      <c r="C9" s="19" t="s">
        <v>57</v>
      </c>
      <c r="D9" s="20" t="s">
        <v>58</v>
      </c>
      <c r="E9" s="19" t="n">
        <v>5800</v>
      </c>
      <c r="F9" s="19" t="n">
        <v>400</v>
      </c>
      <c r="G9" s="19" t="n">
        <v>300</v>
      </c>
      <c r="H9" s="19" t="n">
        <v>260</v>
      </c>
      <c r="I9" s="19" t="n">
        <f aca="false">SUM(E9:H9)</f>
        <v>6760</v>
      </c>
      <c r="J9" s="21" t="n">
        <f aca="false">P9+R9+T9+V9+W9</f>
        <v>1836.05</v>
      </c>
      <c r="K9" s="21" t="n">
        <f aca="false">SUM(I9:J9)</f>
        <v>8596.05</v>
      </c>
      <c r="L9" s="22" t="n">
        <v>5800</v>
      </c>
      <c r="M9" s="22" t="n">
        <v>5800</v>
      </c>
      <c r="N9" s="22" t="n">
        <v>5800</v>
      </c>
      <c r="O9" s="19" t="n">
        <v>5800</v>
      </c>
      <c r="P9" s="23" t="n">
        <f aca="false">ROUND(L9*0.16,2)</f>
        <v>928</v>
      </c>
      <c r="Q9" s="23" t="n">
        <f aca="false">ROUND(L9*0.08,2)</f>
        <v>464</v>
      </c>
      <c r="R9" s="23" t="n">
        <f aca="false">ROUND(L9*0.007,2)</f>
        <v>40.6</v>
      </c>
      <c r="S9" s="23" t="n">
        <f aca="false">ROUND(L9*0.003,2)</f>
        <v>17.4</v>
      </c>
      <c r="T9" s="23" t="n">
        <f aca="false">ROUND(M9*0.077,2)</f>
        <v>446.6</v>
      </c>
      <c r="U9" s="23" t="n">
        <f aca="false">ROUND(M9*0.02,2)</f>
        <v>116</v>
      </c>
      <c r="V9" s="23" t="n">
        <f aca="false">ROUND(N9*0.00256,2)</f>
        <v>14.85</v>
      </c>
      <c r="W9" s="24" t="n">
        <f aca="false">ROUND(O9*0.07,0)</f>
        <v>406</v>
      </c>
      <c r="X9" s="24" t="n">
        <f aca="false">ROUND(O9*0.07,0)</f>
        <v>406</v>
      </c>
      <c r="Y9" s="24"/>
      <c r="Z9" s="18" t="n">
        <f aca="false">SUM(P9:Y9)</f>
        <v>2839.45</v>
      </c>
      <c r="AA9" s="18"/>
      <c r="AB9" s="18"/>
      <c r="AC9" s="18"/>
      <c r="AD9" s="18"/>
      <c r="AE9" s="18"/>
      <c r="AF9" s="18"/>
      <c r="AG9" s="18" t="n">
        <f aca="false">SUM(AA9:AF9)</f>
        <v>0</v>
      </c>
      <c r="AH9" s="18"/>
      <c r="AI9" s="18"/>
      <c r="AJ9" s="18" t="n">
        <f aca="false">AK9+AH9</f>
        <v>496.599999999999</v>
      </c>
      <c r="AK9" s="21" t="n">
        <f aca="false">K9-Z9-AG9-5000-H9</f>
        <v>496.599999999999</v>
      </c>
      <c r="AL9" s="25" t="n">
        <f aca="false">ROUND(AJ9*0.03,2)-AI9</f>
        <v>14.9</v>
      </c>
      <c r="AM9" s="26" t="n">
        <f aca="false">K9-Z9-AL9</f>
        <v>5741.7</v>
      </c>
    </row>
    <row r="10" s="10" customFormat="true" ht="30.75" hidden="false" customHeight="true" outlineLevel="0" collapsed="false">
      <c r="A10" s="18" t="n">
        <v>6</v>
      </c>
      <c r="B10" s="18" t="s">
        <v>59</v>
      </c>
      <c r="C10" s="19" t="s">
        <v>60</v>
      </c>
      <c r="D10" s="20" t="s">
        <v>61</v>
      </c>
      <c r="E10" s="19" t="n">
        <v>4100</v>
      </c>
      <c r="F10" s="19" t="n">
        <v>400</v>
      </c>
      <c r="G10" s="19"/>
      <c r="H10" s="19"/>
      <c r="I10" s="19" t="n">
        <f aca="false">SUM(E10:H10)</f>
        <v>4500</v>
      </c>
      <c r="J10" s="21" t="n">
        <f aca="false">P10+R10+T10+V10+W10</f>
        <v>1386.41</v>
      </c>
      <c r="K10" s="21" t="n">
        <f aca="false">SUM(I10:J10)</f>
        <v>5886.41</v>
      </c>
      <c r="L10" s="22" t="n">
        <v>4488.9</v>
      </c>
      <c r="M10" s="22" t="n">
        <v>4393.2</v>
      </c>
      <c r="N10" s="22" t="n">
        <v>4488.9</v>
      </c>
      <c r="O10" s="19" t="n">
        <v>4100</v>
      </c>
      <c r="P10" s="23" t="n">
        <f aca="false">ROUND(L10*0.16,2)</f>
        <v>718.22</v>
      </c>
      <c r="Q10" s="23" t="n">
        <f aca="false">ROUND(L10*0.08,2)</f>
        <v>359.11</v>
      </c>
      <c r="R10" s="23" t="n">
        <f aca="false">ROUND(L10*0.007,2)</f>
        <v>31.42</v>
      </c>
      <c r="S10" s="23" t="n">
        <f aca="false">ROUND(L10*0.003,2)</f>
        <v>13.47</v>
      </c>
      <c r="T10" s="23" t="n">
        <f aca="false">ROUND(M10*0.077,2)</f>
        <v>338.28</v>
      </c>
      <c r="U10" s="23" t="n">
        <f aca="false">ROUND(M10*0.02,2)</f>
        <v>87.86</v>
      </c>
      <c r="V10" s="23" t="n">
        <f aca="false">ROUND(N10*0.00256,2)</f>
        <v>11.49</v>
      </c>
      <c r="W10" s="24" t="n">
        <f aca="false">ROUND(O10*0.07,0)</f>
        <v>287</v>
      </c>
      <c r="X10" s="24" t="n">
        <f aca="false">ROUND(O10*0.07,0)</f>
        <v>287</v>
      </c>
      <c r="Y10" s="24"/>
      <c r="Z10" s="18" t="n">
        <f aca="false">SUM(P10:Y10)</f>
        <v>2133.85</v>
      </c>
      <c r="AA10" s="18"/>
      <c r="AB10" s="18"/>
      <c r="AC10" s="18"/>
      <c r="AD10" s="18"/>
      <c r="AE10" s="18"/>
      <c r="AF10" s="18"/>
      <c r="AG10" s="18" t="n">
        <f aca="false">SUM(AA10:AF10)</f>
        <v>0</v>
      </c>
      <c r="AH10" s="18"/>
      <c r="AI10" s="18"/>
      <c r="AJ10" s="18" t="n">
        <f aca="false">AK10+AH10</f>
        <v>-1247.44</v>
      </c>
      <c r="AK10" s="21" t="n">
        <f aca="false">K10-Z10-AG10-5000-H10</f>
        <v>-1247.44</v>
      </c>
      <c r="AL10" s="25"/>
      <c r="AM10" s="26" t="n">
        <f aca="false">K10-Z10-AL10</f>
        <v>3752.56</v>
      </c>
    </row>
    <row r="11" s="10" customFormat="true" ht="30.75" hidden="false" customHeight="true" outlineLevel="0" collapsed="false">
      <c r="A11" s="18" t="n">
        <v>7</v>
      </c>
      <c r="B11" s="18" t="s">
        <v>59</v>
      </c>
      <c r="C11" s="19" t="s">
        <v>62</v>
      </c>
      <c r="D11" s="20" t="s">
        <v>63</v>
      </c>
      <c r="E11" s="19" t="n">
        <v>4100</v>
      </c>
      <c r="F11" s="19" t="n">
        <v>400</v>
      </c>
      <c r="G11" s="19"/>
      <c r="H11" s="19"/>
      <c r="I11" s="19" t="n">
        <f aca="false">SUM(E11:H11)</f>
        <v>4500</v>
      </c>
      <c r="J11" s="21" t="n">
        <f aca="false">P11+R11+T11+V11+W11</f>
        <v>1386.41</v>
      </c>
      <c r="K11" s="21" t="n">
        <f aca="false">SUM(I11:J11)</f>
        <v>5886.41</v>
      </c>
      <c r="L11" s="22" t="n">
        <v>4488.9</v>
      </c>
      <c r="M11" s="22" t="n">
        <v>4393.2</v>
      </c>
      <c r="N11" s="22" t="n">
        <v>4488.9</v>
      </c>
      <c r="O11" s="19" t="n">
        <v>4100</v>
      </c>
      <c r="P11" s="23" t="n">
        <f aca="false">ROUND(L11*0.16,2)</f>
        <v>718.22</v>
      </c>
      <c r="Q11" s="23" t="n">
        <f aca="false">ROUND(L11*0.08,2)</f>
        <v>359.11</v>
      </c>
      <c r="R11" s="23" t="n">
        <f aca="false">ROUND(L11*0.007,2)</f>
        <v>31.42</v>
      </c>
      <c r="S11" s="23" t="n">
        <f aca="false">ROUND(L11*0.003,2)</f>
        <v>13.47</v>
      </c>
      <c r="T11" s="23" t="n">
        <f aca="false">ROUND(M11*0.077,2)</f>
        <v>338.28</v>
      </c>
      <c r="U11" s="23" t="n">
        <f aca="false">ROUND(M11*0.02,2)</f>
        <v>87.86</v>
      </c>
      <c r="V11" s="23" t="n">
        <f aca="false">ROUND(N11*0.00256,2)</f>
        <v>11.49</v>
      </c>
      <c r="W11" s="24" t="n">
        <f aca="false">ROUND(O11*0.07,0)</f>
        <v>287</v>
      </c>
      <c r="X11" s="24" t="n">
        <f aca="false">ROUND(O11*0.07,0)</f>
        <v>287</v>
      </c>
      <c r="Y11" s="24"/>
      <c r="Z11" s="18" t="n">
        <f aca="false">SUM(P11:Y11)</f>
        <v>2133.85</v>
      </c>
      <c r="AA11" s="18"/>
      <c r="AB11" s="18"/>
      <c r="AC11" s="18"/>
      <c r="AD11" s="18"/>
      <c r="AE11" s="18"/>
      <c r="AF11" s="18"/>
      <c r="AG11" s="18" t="n">
        <f aca="false">SUM(AA11:AF11)</f>
        <v>0</v>
      </c>
      <c r="AH11" s="18"/>
      <c r="AI11" s="18"/>
      <c r="AJ11" s="18" t="n">
        <f aca="false">AK11+AH11</f>
        <v>-1247.44</v>
      </c>
      <c r="AK11" s="21" t="n">
        <f aca="false">K11-Z11-AG11-5000-H11</f>
        <v>-1247.44</v>
      </c>
      <c r="AL11" s="25"/>
      <c r="AM11" s="26" t="n">
        <f aca="false">K11-Z11-AL11</f>
        <v>3752.56</v>
      </c>
    </row>
    <row r="12" s="10" customFormat="true" ht="30.75" hidden="false" customHeight="true" outlineLevel="0" collapsed="false">
      <c r="A12" s="18" t="n">
        <v>8</v>
      </c>
      <c r="B12" s="18" t="s">
        <v>59</v>
      </c>
      <c r="C12" s="19" t="s">
        <v>64</v>
      </c>
      <c r="D12" s="20" t="s">
        <v>65</v>
      </c>
      <c r="E12" s="19" t="n">
        <v>4100</v>
      </c>
      <c r="F12" s="19" t="n">
        <v>400</v>
      </c>
      <c r="G12" s="19"/>
      <c r="H12" s="19"/>
      <c r="I12" s="19" t="n">
        <f aca="false">SUM(E12:H12)</f>
        <v>4500</v>
      </c>
      <c r="J12" s="21" t="n">
        <f aca="false">P12+R12+T12+V12+W12</f>
        <v>1386.41</v>
      </c>
      <c r="K12" s="21" t="n">
        <f aca="false">SUM(I12:J12)</f>
        <v>5886.41</v>
      </c>
      <c r="L12" s="22" t="n">
        <v>4488.9</v>
      </c>
      <c r="M12" s="22" t="n">
        <v>4393.2</v>
      </c>
      <c r="N12" s="22" t="n">
        <v>4488.9</v>
      </c>
      <c r="O12" s="19" t="n">
        <v>4100</v>
      </c>
      <c r="P12" s="23" t="n">
        <f aca="false">ROUND(L12*0.16,2)</f>
        <v>718.22</v>
      </c>
      <c r="Q12" s="23" t="n">
        <f aca="false">ROUND(L12*0.08,2)</f>
        <v>359.11</v>
      </c>
      <c r="R12" s="23" t="n">
        <f aca="false">ROUND(L12*0.007,2)</f>
        <v>31.42</v>
      </c>
      <c r="S12" s="23" t="n">
        <f aca="false">ROUND(L12*0.003,2)</f>
        <v>13.47</v>
      </c>
      <c r="T12" s="23" t="n">
        <f aca="false">ROUND(M12*0.077,2)</f>
        <v>338.28</v>
      </c>
      <c r="U12" s="23" t="n">
        <f aca="false">ROUND(M12*0.02,2)</f>
        <v>87.86</v>
      </c>
      <c r="V12" s="23" t="n">
        <f aca="false">ROUND(N12*0.00256,2)</f>
        <v>11.49</v>
      </c>
      <c r="W12" s="24" t="n">
        <f aca="false">ROUND(O12*0.07,0)</f>
        <v>287</v>
      </c>
      <c r="X12" s="24" t="n">
        <f aca="false">ROUND(O12*0.07,0)</f>
        <v>287</v>
      </c>
      <c r="Y12" s="24"/>
      <c r="Z12" s="18" t="n">
        <f aca="false">SUM(P12:Y12)</f>
        <v>2133.85</v>
      </c>
      <c r="AA12" s="18"/>
      <c r="AB12" s="18"/>
      <c r="AC12" s="18"/>
      <c r="AD12" s="18"/>
      <c r="AE12" s="18"/>
      <c r="AF12" s="18"/>
      <c r="AG12" s="18" t="n">
        <f aca="false">SUM(AA12:AF12)</f>
        <v>0</v>
      </c>
      <c r="AH12" s="18"/>
      <c r="AI12" s="18"/>
      <c r="AJ12" s="18" t="n">
        <f aca="false">AK12+AH12</f>
        <v>-1247.44</v>
      </c>
      <c r="AK12" s="21" t="n">
        <f aca="false">K12-Z12-AG12-5000-H12</f>
        <v>-1247.44</v>
      </c>
      <c r="AL12" s="25"/>
      <c r="AM12" s="26" t="n">
        <f aca="false">K12-Z12-AL12</f>
        <v>3752.56</v>
      </c>
    </row>
    <row r="13" s="10" customFormat="true" ht="30.75" hidden="false" customHeight="true" outlineLevel="0" collapsed="false">
      <c r="A13" s="18" t="n">
        <v>9</v>
      </c>
      <c r="B13" s="18" t="s">
        <v>59</v>
      </c>
      <c r="C13" s="19" t="s">
        <v>66</v>
      </c>
      <c r="D13" s="20" t="s">
        <v>67</v>
      </c>
      <c r="E13" s="19" t="n">
        <v>4100</v>
      </c>
      <c r="F13" s="19" t="n">
        <v>400</v>
      </c>
      <c r="G13" s="19"/>
      <c r="H13" s="19"/>
      <c r="I13" s="19" t="n">
        <f aca="false">SUM(E13:H13)</f>
        <v>4500</v>
      </c>
      <c r="J13" s="21" t="n">
        <f aca="false">P13+R13+T13+V13+W13</f>
        <v>1386.41</v>
      </c>
      <c r="K13" s="21" t="n">
        <f aca="false">SUM(I13:J13)</f>
        <v>5886.41</v>
      </c>
      <c r="L13" s="22" t="n">
        <v>4488.9</v>
      </c>
      <c r="M13" s="22" t="n">
        <v>4393.2</v>
      </c>
      <c r="N13" s="22" t="n">
        <v>4488.9</v>
      </c>
      <c r="O13" s="19" t="n">
        <v>4100</v>
      </c>
      <c r="P13" s="23" t="n">
        <f aca="false">ROUND(L13*0.16,2)</f>
        <v>718.22</v>
      </c>
      <c r="Q13" s="23" t="n">
        <f aca="false">ROUND(L13*0.08,2)</f>
        <v>359.11</v>
      </c>
      <c r="R13" s="23" t="n">
        <f aca="false">ROUND(L13*0.007,2)</f>
        <v>31.42</v>
      </c>
      <c r="S13" s="23" t="n">
        <f aca="false">ROUND(L13*0.003,2)</f>
        <v>13.47</v>
      </c>
      <c r="T13" s="23" t="n">
        <f aca="false">ROUND(M13*0.077,2)</f>
        <v>338.28</v>
      </c>
      <c r="U13" s="23" t="n">
        <f aca="false">ROUND(M13*0.02,2)</f>
        <v>87.86</v>
      </c>
      <c r="V13" s="23" t="n">
        <f aca="false">ROUND(N13*0.00256,2)</f>
        <v>11.49</v>
      </c>
      <c r="W13" s="24" t="n">
        <f aca="false">ROUND(O13*0.07,0)</f>
        <v>287</v>
      </c>
      <c r="X13" s="24" t="n">
        <f aca="false">ROUND(O13*0.07,0)</f>
        <v>287</v>
      </c>
      <c r="Y13" s="24"/>
      <c r="Z13" s="18" t="n">
        <f aca="false">SUM(P13:Y13)</f>
        <v>2133.85</v>
      </c>
      <c r="AA13" s="18"/>
      <c r="AB13" s="18"/>
      <c r="AC13" s="18"/>
      <c r="AD13" s="18"/>
      <c r="AE13" s="18"/>
      <c r="AF13" s="18"/>
      <c r="AG13" s="18" t="n">
        <f aca="false">SUM(AA13:AF13)</f>
        <v>0</v>
      </c>
      <c r="AH13" s="18"/>
      <c r="AI13" s="18"/>
      <c r="AJ13" s="18" t="n">
        <f aca="false">AK13+AH13</f>
        <v>-1247.44</v>
      </c>
      <c r="AK13" s="21" t="n">
        <f aca="false">K13-Z13-AG13-5000-H13</f>
        <v>-1247.44</v>
      </c>
      <c r="AL13" s="25"/>
      <c r="AM13" s="26" t="n">
        <f aca="false">K13-Z13-AL13</f>
        <v>3752.56</v>
      </c>
    </row>
    <row r="14" s="10" customFormat="true" ht="30.75" hidden="false" customHeight="true" outlineLevel="0" collapsed="false">
      <c r="A14" s="18" t="n">
        <v>10</v>
      </c>
      <c r="B14" s="18" t="s">
        <v>59</v>
      </c>
      <c r="C14" s="19" t="s">
        <v>68</v>
      </c>
      <c r="D14" s="20" t="s">
        <v>69</v>
      </c>
      <c r="E14" s="19" t="n">
        <v>4100</v>
      </c>
      <c r="F14" s="19" t="n">
        <v>400</v>
      </c>
      <c r="G14" s="19"/>
      <c r="H14" s="19"/>
      <c r="I14" s="19" t="n">
        <f aca="false">SUM(E14:H14)</f>
        <v>4500</v>
      </c>
      <c r="J14" s="21" t="n">
        <f aca="false">P14+R14+T14+V14+W14</f>
        <v>1386.41</v>
      </c>
      <c r="K14" s="21" t="n">
        <f aca="false">SUM(I14:J14)</f>
        <v>5886.41</v>
      </c>
      <c r="L14" s="22" t="n">
        <v>4488.9</v>
      </c>
      <c r="M14" s="22" t="n">
        <v>4393.2</v>
      </c>
      <c r="N14" s="22" t="n">
        <v>4488.9</v>
      </c>
      <c r="O14" s="19" t="n">
        <v>4100</v>
      </c>
      <c r="P14" s="23" t="n">
        <f aca="false">ROUND(L14*0.16,2)</f>
        <v>718.22</v>
      </c>
      <c r="Q14" s="23" t="n">
        <f aca="false">ROUND(L14*0.08,2)</f>
        <v>359.11</v>
      </c>
      <c r="R14" s="23" t="n">
        <f aca="false">ROUND(L14*0.007,2)</f>
        <v>31.42</v>
      </c>
      <c r="S14" s="23" t="n">
        <f aca="false">ROUND(L14*0.003,2)</f>
        <v>13.47</v>
      </c>
      <c r="T14" s="23" t="n">
        <f aca="false">ROUND(M14*0.077,2)</f>
        <v>338.28</v>
      </c>
      <c r="U14" s="23" t="n">
        <f aca="false">ROUND(M14*0.02,2)</f>
        <v>87.86</v>
      </c>
      <c r="V14" s="23" t="n">
        <f aca="false">ROUND(N14*0.00256,2)</f>
        <v>11.49</v>
      </c>
      <c r="W14" s="24" t="n">
        <f aca="false">ROUND(O14*0.07,0)</f>
        <v>287</v>
      </c>
      <c r="X14" s="24" t="n">
        <f aca="false">ROUND(O14*0.07,0)</f>
        <v>287</v>
      </c>
      <c r="Y14" s="24"/>
      <c r="Z14" s="18" t="n">
        <f aca="false">SUM(P14:Y14)</f>
        <v>2133.85</v>
      </c>
      <c r="AA14" s="18"/>
      <c r="AB14" s="18"/>
      <c r="AC14" s="18"/>
      <c r="AD14" s="18"/>
      <c r="AE14" s="18"/>
      <c r="AF14" s="18"/>
      <c r="AG14" s="18" t="n">
        <f aca="false">SUM(AA14:AF14)</f>
        <v>0</v>
      </c>
      <c r="AH14" s="18"/>
      <c r="AI14" s="18"/>
      <c r="AJ14" s="18" t="n">
        <f aca="false">AK14+AH14</f>
        <v>-1247.44</v>
      </c>
      <c r="AK14" s="21" t="n">
        <f aca="false">K14-Z14-AG14-5000-H14</f>
        <v>-1247.44</v>
      </c>
      <c r="AL14" s="25"/>
      <c r="AM14" s="26" t="n">
        <f aca="false">K14-Z14-AL14</f>
        <v>3752.56</v>
      </c>
    </row>
    <row r="15" s="10" customFormat="true" ht="30.75" hidden="false" customHeight="true" outlineLevel="0" collapsed="false">
      <c r="A15" s="18" t="n">
        <v>11</v>
      </c>
      <c r="B15" s="18" t="s">
        <v>59</v>
      </c>
      <c r="C15" s="19" t="s">
        <v>70</v>
      </c>
      <c r="D15" s="20" t="s">
        <v>71</v>
      </c>
      <c r="E15" s="19" t="n">
        <v>4100</v>
      </c>
      <c r="F15" s="19" t="n">
        <v>400</v>
      </c>
      <c r="G15" s="19"/>
      <c r="H15" s="19"/>
      <c r="I15" s="19" t="n">
        <f aca="false">SUM(E15:H15)</f>
        <v>4500</v>
      </c>
      <c r="J15" s="21" t="n">
        <f aca="false">P15+R15+T15+V15+W15</f>
        <v>1386.41</v>
      </c>
      <c r="K15" s="21" t="n">
        <f aca="false">SUM(I15:J15)</f>
        <v>5886.41</v>
      </c>
      <c r="L15" s="22" t="n">
        <v>4488.9</v>
      </c>
      <c r="M15" s="22" t="n">
        <v>4393.2</v>
      </c>
      <c r="N15" s="22" t="n">
        <v>4488.9</v>
      </c>
      <c r="O15" s="19" t="n">
        <v>4100</v>
      </c>
      <c r="P15" s="23" t="n">
        <f aca="false">ROUND(L15*0.16,2)</f>
        <v>718.22</v>
      </c>
      <c r="Q15" s="23" t="n">
        <f aca="false">ROUND(L15*0.08,2)</f>
        <v>359.11</v>
      </c>
      <c r="R15" s="23" t="n">
        <f aca="false">ROUND(L15*0.007,2)</f>
        <v>31.42</v>
      </c>
      <c r="S15" s="23" t="n">
        <f aca="false">ROUND(L15*0.003,2)</f>
        <v>13.47</v>
      </c>
      <c r="T15" s="23" t="n">
        <f aca="false">ROUND(M15*0.077,2)</f>
        <v>338.28</v>
      </c>
      <c r="U15" s="23" t="n">
        <f aca="false">ROUND(M15*0.02,2)</f>
        <v>87.86</v>
      </c>
      <c r="V15" s="23" t="n">
        <f aca="false">ROUND(N15*0.00256,2)</f>
        <v>11.49</v>
      </c>
      <c r="W15" s="24" t="n">
        <f aca="false">ROUND(O15*0.07,0)</f>
        <v>287</v>
      </c>
      <c r="X15" s="24" t="n">
        <f aca="false">ROUND(O15*0.07,0)</f>
        <v>287</v>
      </c>
      <c r="Y15" s="24"/>
      <c r="Z15" s="18" t="n">
        <f aca="false">SUM(P15:Y15)</f>
        <v>2133.85</v>
      </c>
      <c r="AA15" s="18"/>
      <c r="AB15" s="18"/>
      <c r="AC15" s="18"/>
      <c r="AD15" s="18"/>
      <c r="AE15" s="18"/>
      <c r="AF15" s="18"/>
      <c r="AG15" s="18" t="n">
        <f aca="false">SUM(AA15:AF15)</f>
        <v>0</v>
      </c>
      <c r="AH15" s="18"/>
      <c r="AI15" s="18"/>
      <c r="AJ15" s="18" t="n">
        <f aca="false">AK15+AH15</f>
        <v>-1247.44</v>
      </c>
      <c r="AK15" s="21" t="n">
        <f aca="false">K15-Z15-AG15-5000-H15</f>
        <v>-1247.44</v>
      </c>
      <c r="AL15" s="25"/>
      <c r="AM15" s="26" t="n">
        <f aca="false">K15-Z15-AL15</f>
        <v>3752.56</v>
      </c>
    </row>
    <row r="16" s="10" customFormat="true" ht="30.75" hidden="false" customHeight="true" outlineLevel="0" collapsed="false">
      <c r="A16" s="18" t="n">
        <v>12</v>
      </c>
      <c r="B16" s="18" t="s">
        <v>59</v>
      </c>
      <c r="C16" s="19" t="s">
        <v>72</v>
      </c>
      <c r="D16" s="20" t="s">
        <v>73</v>
      </c>
      <c r="E16" s="19" t="n">
        <v>4100</v>
      </c>
      <c r="F16" s="19" t="n">
        <v>400</v>
      </c>
      <c r="G16" s="19"/>
      <c r="H16" s="19"/>
      <c r="I16" s="19" t="n">
        <f aca="false">SUM(E16:H16)</f>
        <v>4500</v>
      </c>
      <c r="J16" s="21" t="n">
        <f aca="false">P16+R16+T16+V16+W16</f>
        <v>1386.41</v>
      </c>
      <c r="K16" s="21" t="n">
        <f aca="false">SUM(I16:J16)</f>
        <v>5886.41</v>
      </c>
      <c r="L16" s="22" t="n">
        <v>4488.9</v>
      </c>
      <c r="M16" s="22" t="n">
        <v>4393.2</v>
      </c>
      <c r="N16" s="22" t="n">
        <v>4488.9</v>
      </c>
      <c r="O16" s="19" t="n">
        <v>4100</v>
      </c>
      <c r="P16" s="23" t="n">
        <f aca="false">ROUND(L16*0.16,2)</f>
        <v>718.22</v>
      </c>
      <c r="Q16" s="23" t="n">
        <f aca="false">ROUND(L16*0.08,2)</f>
        <v>359.11</v>
      </c>
      <c r="R16" s="23" t="n">
        <f aca="false">ROUND(L16*0.007,2)</f>
        <v>31.42</v>
      </c>
      <c r="S16" s="23" t="n">
        <f aca="false">ROUND(L16*0.003,2)</f>
        <v>13.47</v>
      </c>
      <c r="T16" s="23" t="n">
        <f aca="false">ROUND(M16*0.077,2)</f>
        <v>338.28</v>
      </c>
      <c r="U16" s="23" t="n">
        <f aca="false">ROUND(M16*0.02,2)</f>
        <v>87.86</v>
      </c>
      <c r="V16" s="23" t="n">
        <f aca="false">ROUND(N16*0.00256,2)</f>
        <v>11.49</v>
      </c>
      <c r="W16" s="24" t="n">
        <f aca="false">ROUND(O16*0.07,0)</f>
        <v>287</v>
      </c>
      <c r="X16" s="24" t="n">
        <f aca="false">ROUND(O16*0.07,0)</f>
        <v>287</v>
      </c>
      <c r="Y16" s="24"/>
      <c r="Z16" s="18" t="n">
        <f aca="false">SUM(P16:Y16)</f>
        <v>2133.85</v>
      </c>
      <c r="AA16" s="18"/>
      <c r="AB16" s="18"/>
      <c r="AC16" s="18"/>
      <c r="AD16" s="18"/>
      <c r="AE16" s="18"/>
      <c r="AF16" s="18"/>
      <c r="AG16" s="18" t="n">
        <f aca="false">SUM(AA16:AF16)</f>
        <v>0</v>
      </c>
      <c r="AH16" s="18"/>
      <c r="AI16" s="18"/>
      <c r="AJ16" s="18" t="n">
        <f aca="false">AK16+AH16</f>
        <v>-1247.44</v>
      </c>
      <c r="AK16" s="21" t="n">
        <f aca="false">K16-Z16-AG16-5000-H16</f>
        <v>-1247.44</v>
      </c>
      <c r="AL16" s="25"/>
      <c r="AM16" s="26" t="n">
        <f aca="false">K16-Z16-AL16</f>
        <v>3752.56</v>
      </c>
    </row>
    <row r="17" s="10" customFormat="true" ht="30.75" hidden="false" customHeight="true" outlineLevel="0" collapsed="false">
      <c r="A17" s="19" t="s">
        <v>46</v>
      </c>
      <c r="B17" s="19"/>
      <c r="C17" s="19"/>
      <c r="D17" s="19"/>
      <c r="E17" s="19" t="n">
        <f aca="false">SUM(E5:E16)</f>
        <v>57700</v>
      </c>
      <c r="F17" s="19" t="n">
        <f aca="false">SUM(F5:F16)</f>
        <v>6000</v>
      </c>
      <c r="G17" s="19" t="n">
        <f aca="false">SUM(G5:G16)</f>
        <v>1300</v>
      </c>
      <c r="H17" s="19" t="n">
        <f aca="false">SUM(H5:H16)</f>
        <v>1331</v>
      </c>
      <c r="I17" s="19" t="n">
        <f aca="false">SUM(I5:I16)</f>
        <v>66331</v>
      </c>
      <c r="J17" s="27" t="n">
        <f aca="false">SUM(J5:J16)</f>
        <v>18885.12</v>
      </c>
      <c r="K17" s="21" t="n">
        <f aca="false">SUM(K5:K16)</f>
        <v>85216.12</v>
      </c>
      <c r="L17" s="19"/>
      <c r="M17" s="19"/>
      <c r="N17" s="19"/>
      <c r="O17" s="19"/>
      <c r="P17" s="19" t="n">
        <f aca="false">SUM(P5:P16)</f>
        <v>9667.54</v>
      </c>
      <c r="Q17" s="19" t="n">
        <f aca="false">SUM(Q5:Q16)</f>
        <v>4833.77</v>
      </c>
      <c r="R17" s="19" t="n">
        <f aca="false">SUM(R5:R16)</f>
        <v>422.94</v>
      </c>
      <c r="S17" s="19" t="n">
        <f aca="false">SUM(S5:S16)</f>
        <v>181.29</v>
      </c>
      <c r="T17" s="19" t="n">
        <f aca="false">SUM(T5:T16)</f>
        <v>4600.96</v>
      </c>
      <c r="U17" s="19" t="n">
        <f aca="false">SUM(U5:U16)</f>
        <v>1195.02</v>
      </c>
      <c r="V17" s="19" t="n">
        <f aca="false">SUM(V5:V16)</f>
        <v>154.68</v>
      </c>
      <c r="W17" s="19" t="n">
        <f aca="false">SUM(W5:W16)</f>
        <v>4039</v>
      </c>
      <c r="X17" s="19" t="n">
        <f aca="false">SUM(X5:X16)</f>
        <v>4039</v>
      </c>
      <c r="Y17" s="24" t="n">
        <f aca="false">SUM(Y5:Y16)</f>
        <v>0</v>
      </c>
      <c r="Z17" s="19" t="n">
        <f aca="false">SUM(Z5:Z16)</f>
        <v>29134.2</v>
      </c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27"/>
      <c r="AL17" s="28" t="n">
        <f aca="false">SUM(AL5:AL16)</f>
        <v>104.5</v>
      </c>
      <c r="AM17" s="27" t="n">
        <f aca="false">SUM(AM5:AM16)</f>
        <v>55977.42</v>
      </c>
    </row>
    <row r="18" s="10" customFormat="true" ht="30.75" hidden="false" customHeight="true" outlineLevel="0" collapsed="false">
      <c r="A18" s="29" t="s">
        <v>74</v>
      </c>
      <c r="B18" s="29"/>
      <c r="C18" s="29"/>
      <c r="D18" s="30" t="n">
        <f aca="false">ROUND(K17*0.035,2)</f>
        <v>2982.56</v>
      </c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</row>
    <row r="19" s="10" customFormat="true" ht="30.75" hidden="false" customHeight="true" outlineLevel="0" collapsed="false">
      <c r="A19" s="19" t="s">
        <v>75</v>
      </c>
      <c r="B19" s="19"/>
      <c r="C19" s="19"/>
      <c r="D19" s="30" t="n">
        <f aca="false">ROUND((K17+D18)*0.06,2)</f>
        <v>5291.92</v>
      </c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</row>
    <row r="20" s="10" customFormat="true" ht="30.75" hidden="false" customHeight="true" outlineLevel="0" collapsed="false">
      <c r="A20" s="31" t="s">
        <v>76</v>
      </c>
      <c r="B20" s="31"/>
      <c r="C20" s="31"/>
      <c r="D20" s="32" t="n">
        <f aca="false">K17+D19+D18</f>
        <v>93490.6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</row>
    <row r="21" s="10" customFormat="true" ht="27.75" hidden="false" customHeight="true" outlineLevel="0" collapsed="false">
      <c r="A21" s="33" t="s">
        <v>77</v>
      </c>
      <c r="B21" s="34"/>
      <c r="C21" s="34"/>
      <c r="D21" s="34"/>
      <c r="E21" s="34"/>
      <c r="F21" s="34" t="s">
        <v>78</v>
      </c>
      <c r="G21" s="34"/>
      <c r="H21" s="34"/>
      <c r="I21" s="34"/>
      <c r="J21" s="34"/>
      <c r="K21" s="34"/>
      <c r="L21" s="34"/>
      <c r="M21" s="34" t="s">
        <v>79</v>
      </c>
      <c r="N21" s="34"/>
      <c r="O21" s="34"/>
      <c r="P21" s="34"/>
      <c r="Q21" s="34"/>
      <c r="R21" s="34"/>
      <c r="S21" s="34"/>
      <c r="T21" s="34" t="s">
        <v>80</v>
      </c>
      <c r="U21" s="1"/>
      <c r="V21" s="1"/>
      <c r="W21" s="1"/>
      <c r="X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L21" s="34"/>
      <c r="AM21" s="34" t="s">
        <v>81</v>
      </c>
    </row>
    <row r="22" s="10" customFormat="true" ht="25.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35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36"/>
      <c r="AM22" s="4"/>
    </row>
    <row r="23" s="1" customFormat="true" ht="24" hidden="false" customHeight="true" outlineLevel="0" collapsed="false">
      <c r="L23" s="2"/>
      <c r="M23" s="2"/>
      <c r="N23" s="2"/>
      <c r="O23" s="2"/>
      <c r="P23" s="2"/>
      <c r="AL23" s="3"/>
    </row>
    <row r="24" s="1" customFormat="true" ht="14.25" hidden="false" customHeight="false" outlineLevel="0" collapsed="false">
      <c r="L24" s="2"/>
      <c r="M24" s="2"/>
      <c r="N24" s="2"/>
      <c r="O24" s="2"/>
      <c r="P24" s="2"/>
      <c r="AL24" s="3"/>
    </row>
    <row r="25" s="4" customFormat="true" ht="14.2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"/>
      <c r="M25" s="2"/>
      <c r="N25" s="2"/>
      <c r="O25" s="2"/>
      <c r="P25" s="2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3"/>
      <c r="AM25" s="1"/>
    </row>
    <row r="26" s="1" customFormat="true" ht="14.25" hidden="false" customHeight="false" outlineLevel="0" collapsed="false">
      <c r="L26" s="2"/>
      <c r="M26" s="2"/>
      <c r="N26" s="2"/>
      <c r="O26" s="2"/>
      <c r="P26" s="2"/>
      <c r="AL26" s="3"/>
      <c r="DX26" s="4"/>
    </row>
    <row r="27" s="1" customFormat="true" ht="14.25" hidden="false" customHeight="false" outlineLevel="0" collapsed="false">
      <c r="L27" s="2"/>
      <c r="M27" s="2"/>
      <c r="N27" s="2"/>
      <c r="O27" s="2"/>
      <c r="P27" s="2"/>
      <c r="AL27" s="3"/>
      <c r="DX27" s="4"/>
    </row>
    <row r="28" s="1" customFormat="true" ht="14.25" hidden="false" customHeight="false" outlineLevel="0" collapsed="false">
      <c r="L28" s="2"/>
      <c r="M28" s="2"/>
      <c r="N28" s="2"/>
      <c r="O28" s="2"/>
      <c r="P28" s="2"/>
      <c r="AL28" s="3"/>
      <c r="DX28" s="4"/>
    </row>
  </sheetData>
  <mergeCells count="37">
    <mergeCell ref="A1:AM1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Z2"/>
    <mergeCell ref="AA2:AG3"/>
    <mergeCell ref="AH2:AH4"/>
    <mergeCell ref="AI2:AI4"/>
    <mergeCell ref="AJ2:AJ4"/>
    <mergeCell ref="AK2:AK4"/>
    <mergeCell ref="AL2:AL4"/>
    <mergeCell ref="AM2:AM4"/>
    <mergeCell ref="P3:Q3"/>
    <mergeCell ref="R3:S3"/>
    <mergeCell ref="T3:U3"/>
    <mergeCell ref="W3:X3"/>
    <mergeCell ref="Y3:Y4"/>
    <mergeCell ref="Z3:Z4"/>
    <mergeCell ref="A17:D17"/>
    <mergeCell ref="A18:C18"/>
    <mergeCell ref="D18:AM18"/>
    <mergeCell ref="A19:C19"/>
    <mergeCell ref="D19:AM19"/>
    <mergeCell ref="A20:C20"/>
    <mergeCell ref="D20:AM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2026-09-30T01:36:00Z</dcterms:created>
  <dc:creator>模板</dc:creator>
  <dc:description>外包人员工资发放表空白模板（脱敏示例）</dc:description>
  <dc:language>zh-CN</dc:language>
  <cp:lastModifiedBy>模板</cp:lastModifiedBy>
  <dcterms:modified xsi:type="dcterms:W3CDTF">2026-10-16T03:17:13Z</dcterms:modified>
  <cp:revision>0</cp:revision>
  <dc:subject/>
  <dc:title>外包人员工资发放表模板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1</vt:r8>
  </property>
  <property fmtid="{D5CDD505-2E9C-101B-9397-08002B2CF9AE}" pid="3" name="ICV">
    <vt:lpwstr>467EEA5B332A40CF8B4A801C1B0C936E_11</vt:lpwstr>
  </property>
  <property fmtid="{D5CDD505-2E9C-101B-9397-08002B2CF9AE}" pid="4" name="KSOProductBuildVer">
    <vt:lpwstr>2052-12.1.0.28505</vt:lpwstr>
  </property>
</Properties>
</file>